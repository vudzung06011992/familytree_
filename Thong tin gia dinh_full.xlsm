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amilyTree\f8\familytree_\"/>
    </mc:Choice>
  </mc:AlternateContent>
  <xr:revisionPtr revIDLastSave="0" documentId="13_ncr:1_{6805B49F-8FD7-4687-BA0A-741E28B975F5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Screen" sheetId="4" r:id="rId1"/>
    <sheet name="Data" sheetId="1" r:id="rId2"/>
    <sheet name="Relationship" sheetId="3" r:id="rId3"/>
    <sheet name="Parameter" sheetId="2" r:id="rId4"/>
  </sheets>
  <externalReferences>
    <externalReference r:id="rId5"/>
  </externalReferences>
  <definedNames>
    <definedName name="connection_type">Parameter!$D$3:$D$5</definedName>
    <definedName name="Data">OFFSET(Data!$W$1,1,0,COUNTA(Data!$A:$A),1)</definedName>
    <definedName name="GioiTinh">Parameter!$A$2:$A$3</definedName>
    <definedName name="role">Parameter!$G$3:$G$19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3" l="1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</calcChain>
</file>

<file path=xl/sharedStrings.xml><?xml version="1.0" encoding="utf-8"?>
<sst xmlns="http://schemas.openxmlformats.org/spreadsheetml/2006/main" count="538" uniqueCount="217">
  <si>
    <t>entity_id</t>
  </si>
  <si>
    <t>email</t>
  </si>
  <si>
    <t>first_name</t>
  </si>
  <si>
    <t>middle_name</t>
  </si>
  <si>
    <t>last_name</t>
  </si>
  <si>
    <t>alias</t>
  </si>
  <si>
    <t>gender</t>
  </si>
  <si>
    <t>nationality</t>
  </si>
  <si>
    <t>place_of_origin</t>
  </si>
  <si>
    <t>date_of_birth</t>
  </si>
  <si>
    <t>place_of_birth</t>
  </si>
  <si>
    <t>place_of_residence</t>
  </si>
  <si>
    <t>is_dead</t>
  </si>
  <si>
    <t>date_of_death</t>
  </si>
  <si>
    <t>place_of_death</t>
  </si>
  <si>
    <t>ethnicity</t>
  </si>
  <si>
    <t>educational_level</t>
  </si>
  <si>
    <t>is_cpv_member</t>
  </si>
  <si>
    <t>occupation</t>
  </si>
  <si>
    <t>career</t>
  </si>
  <si>
    <t>characteristics</t>
  </si>
  <si>
    <t>phone</t>
  </si>
  <si>
    <t>Nam</t>
  </si>
  <si>
    <t>Nữ</t>
  </si>
  <si>
    <t>connection_start_date</t>
  </si>
  <si>
    <t>connection_end_date</t>
  </si>
  <si>
    <t>connection_type_id</t>
  </si>
  <si>
    <t>entity_id_1</t>
  </si>
  <si>
    <t>entity_id_2</t>
  </si>
  <si>
    <t>connection_id</t>
  </si>
  <si>
    <t>entity_id_1_role_id</t>
  </si>
  <si>
    <t>entity_id_2_role_id</t>
  </si>
  <si>
    <t>connection_other_details</t>
  </si>
  <si>
    <t>last_update_date</t>
  </si>
  <si>
    <t>Gioi tinh</t>
  </si>
  <si>
    <t>connection_type_name</t>
  </si>
  <si>
    <t>connectionTypes</t>
  </si>
  <si>
    <t>Vợ-chồng</t>
  </si>
  <si>
    <t>Bố mẹ - con cái</t>
  </si>
  <si>
    <t>Anh - chị - em</t>
  </si>
  <si>
    <t>Roles</t>
  </si>
  <si>
    <t>role_id</t>
  </si>
  <si>
    <t>role_name</t>
  </si>
  <si>
    <t>Vợ</t>
  </si>
  <si>
    <t>Chồng</t>
  </si>
  <si>
    <t>Bố ruột</t>
  </si>
  <si>
    <t>Mẹ ruột</t>
  </si>
  <si>
    <t>Con trai ruột</t>
  </si>
  <si>
    <t>Con gái ruột</t>
  </si>
  <si>
    <t>Bố nuôi</t>
  </si>
  <si>
    <t>Mẹ nuôi</t>
  </si>
  <si>
    <t>Con trai nuôi</t>
  </si>
  <si>
    <t>Con gái nuôi</t>
  </si>
  <si>
    <t>Anh ruột</t>
  </si>
  <si>
    <t>Chị ruột</t>
  </si>
  <si>
    <t>Em trai ruột</t>
  </si>
  <si>
    <t>Em gái ruột</t>
  </si>
  <si>
    <t>Cha dượng</t>
  </si>
  <si>
    <t>Mẹ kế</t>
  </si>
  <si>
    <t>Con riêng</t>
  </si>
  <si>
    <t>full_name</t>
  </si>
  <si>
    <t>Việt Nam</t>
  </si>
  <si>
    <t>Kinh</t>
  </si>
  <si>
    <t>Cao đẳng</t>
  </si>
  <si>
    <t>Giáo viên</t>
  </si>
  <si>
    <t>15/07/2025</t>
  </si>
  <si>
    <t>Thạc sĩ</t>
  </si>
  <si>
    <t>Kỹ sư</t>
  </si>
  <si>
    <t>Nông dân</t>
  </si>
  <si>
    <t>THPT</t>
  </si>
  <si>
    <t>Bác sĩ</t>
  </si>
  <si>
    <t>1/1/1985</t>
  </si>
  <si>
    <t>Kết hôn năm 1985</t>
  </si>
  <si>
    <t>1/1/1987</t>
  </si>
  <si>
    <t>1/1/1990</t>
  </si>
  <si>
    <t>1/1/1992</t>
  </si>
  <si>
    <t>1/1/1993</t>
  </si>
  <si>
    <t>1/1/2000</t>
  </si>
  <si>
    <t>1/1/2003</t>
  </si>
  <si>
    <t>1/1/2001</t>
  </si>
  <si>
    <t>1/1/2004</t>
  </si>
  <si>
    <t>1/1/2022</t>
  </si>
  <si>
    <t>1/1/2023</t>
  </si>
  <si>
    <t>1/1/2024</t>
  </si>
  <si>
    <t>Nguyễn</t>
  </si>
  <si>
    <t>Văn</t>
  </si>
  <si>
    <t>Lợi</t>
  </si>
  <si>
    <t>Hà Nội</t>
  </si>
  <si>
    <t>01/01/1930</t>
  </si>
  <si>
    <t>1</t>
  </si>
  <si>
    <t>01/01/2005</t>
  </si>
  <si>
    <t>Cán bộ hưu trí</t>
  </si>
  <si>
    <t>Quản lý nhà nước</t>
  </si>
  <si>
    <t>Nghiêm khắc</t>
  </si>
  <si>
    <t>Nguyễn Văn Lợi</t>
  </si>
  <si>
    <t>Phạm</t>
  </si>
  <si>
    <t>Hữu</t>
  </si>
  <si>
    <t>Đà Nẵng</t>
  </si>
  <si>
    <t>10/03/1991</t>
  </si>
  <si>
    <t>TP.HCM</t>
  </si>
  <si>
    <t>0</t>
  </si>
  <si>
    <t>Nông nghiệp</t>
  </si>
  <si>
    <t>Nhiệt tình</t>
  </si>
  <si>
    <t>0971277878</t>
  </si>
  <si>
    <t>nam1@outlook.com</t>
  </si>
  <si>
    <t>Phạm Hữu Nam</t>
  </si>
  <si>
    <t>Võ</t>
  </si>
  <si>
    <t>Thị</t>
  </si>
  <si>
    <t>Lan</t>
  </si>
  <si>
    <t>22/01/1963</t>
  </si>
  <si>
    <t>Cần Thơ</t>
  </si>
  <si>
    <t>Y tế</t>
  </si>
  <si>
    <t>Kỹ tính</t>
  </si>
  <si>
    <t>0916292303</t>
  </si>
  <si>
    <t>lan2@outlook.com</t>
  </si>
  <si>
    <t>Võ Thị Lan</t>
  </si>
  <si>
    <t>Lê</t>
  </si>
  <si>
    <t>Ngọc</t>
  </si>
  <si>
    <t>Hương</t>
  </si>
  <si>
    <t>04/09/1951</t>
  </si>
  <si>
    <t>Huế</t>
  </si>
  <si>
    <t>27/03/2001</t>
  </si>
  <si>
    <t>Công nhân</t>
  </si>
  <si>
    <t>Vui vẻ</t>
  </si>
  <si>
    <t>0932096328</t>
  </si>
  <si>
    <t>hương3@outlook.com</t>
  </si>
  <si>
    <t>Lê Ngọc Hương</t>
  </si>
  <si>
    <t>Công</t>
  </si>
  <si>
    <t>Quân</t>
  </si>
  <si>
    <t>18/12/1998</t>
  </si>
  <si>
    <t>Tự do</t>
  </si>
  <si>
    <t>0954291390</t>
  </si>
  <si>
    <t>quân4@outlook.com</t>
  </si>
  <si>
    <t>Lê Công Quân</t>
  </si>
  <si>
    <t>26/11/1958</t>
  </si>
  <si>
    <t>07/07/2019</t>
  </si>
  <si>
    <t>Tỉ mỉ</t>
  </si>
  <si>
    <t>0975322817</t>
  </si>
  <si>
    <t>nam5@yahoo.com</t>
  </si>
  <si>
    <t>Lê Ngọc Nam</t>
  </si>
  <si>
    <t>Trần</t>
  </si>
  <si>
    <t>Đức</t>
  </si>
  <si>
    <t>Tú</t>
  </si>
  <si>
    <t>11/11/1974</t>
  </si>
  <si>
    <t>Công nghệ</t>
  </si>
  <si>
    <t>0955415421</t>
  </si>
  <si>
    <t>tú6@gmail.com</t>
  </si>
  <si>
    <t>Trần Đức Tú</t>
  </si>
  <si>
    <t>16/06/1975</t>
  </si>
  <si>
    <t>Sinh viên</t>
  </si>
  <si>
    <t>0968491596</t>
  </si>
  <si>
    <t>tú7@yahoo.com</t>
  </si>
  <si>
    <t>Nguyễn Văn Tú</t>
  </si>
  <si>
    <t>Dũng</t>
  </si>
  <si>
    <t>11/12/1952</t>
  </si>
  <si>
    <t>24/11/2005</t>
  </si>
  <si>
    <t>0940391069</t>
  </si>
  <si>
    <t>dũng8@yahoo.com</t>
  </si>
  <si>
    <t>Nguyễn Đức Dũng</t>
  </si>
  <si>
    <t>Vy</t>
  </si>
  <si>
    <t>03/03/1994</t>
  </si>
  <si>
    <t>Xây dựng</t>
  </si>
  <si>
    <t>0916577906</t>
  </si>
  <si>
    <t>vy9@yahoo.com</t>
  </si>
  <si>
    <t>Trần Thị Vy</t>
  </si>
  <si>
    <t>13/02/2001</t>
  </si>
  <si>
    <t>0999681222</t>
  </si>
  <si>
    <t>quân10@outlook.com</t>
  </si>
  <si>
    <t>Lê Văn Quân</t>
  </si>
  <si>
    <t>02/07/1979</t>
  </si>
  <si>
    <t>Đại học</t>
  </si>
  <si>
    <t>Giáo dục</t>
  </si>
  <si>
    <t>0924701395</t>
  </si>
  <si>
    <t>vy11@gmail.com</t>
  </si>
  <si>
    <t>Lê Ngọc Vy</t>
  </si>
  <si>
    <t>18/04/1968</t>
  </si>
  <si>
    <t>0927902730</t>
  </si>
  <si>
    <t>vy12@yahoo.com</t>
  </si>
  <si>
    <t>Trang</t>
  </si>
  <si>
    <t>11/01/1989</t>
  </si>
  <si>
    <t>0926725883</t>
  </si>
  <si>
    <t>trang13@gmail.com</t>
  </si>
  <si>
    <t>Võ Ngọc Trang</t>
  </si>
  <si>
    <t>Hồng</t>
  </si>
  <si>
    <t>Linh</t>
  </si>
  <si>
    <t>25/12/1985</t>
  </si>
  <si>
    <t>0979850241</t>
  </si>
  <si>
    <t>linh14@gmail.com</t>
  </si>
  <si>
    <t>Trần Hồng Linh</t>
  </si>
  <si>
    <t>Thu</t>
  </si>
  <si>
    <t>05/10/1960</t>
  </si>
  <si>
    <t>Hiền lành</t>
  </si>
  <si>
    <t>0977848567</t>
  </si>
  <si>
    <t>trang15@gmail.com</t>
  </si>
  <si>
    <t>Nguyễn Thu Trang</t>
  </si>
  <si>
    <t>06/06/1992</t>
  </si>
  <si>
    <t>0992831513</t>
  </si>
  <si>
    <t>tú16@outlook.com</t>
  </si>
  <si>
    <t>Nguyễn Hữu Tú</t>
  </si>
  <si>
    <t>05/02/1965</t>
  </si>
  <si>
    <t>0939824856</t>
  </si>
  <si>
    <t>dũng17@gmail.com</t>
  </si>
  <si>
    <t>Phạm Công Dũng</t>
  </si>
  <si>
    <t>02/06/1962</t>
  </si>
  <si>
    <t>0946716464</t>
  </si>
  <si>
    <t>dũng18@yahoo.com</t>
  </si>
  <si>
    <t>Nguyễn Công Dũng</t>
  </si>
  <si>
    <t>05/11/1987</t>
  </si>
  <si>
    <t>0947227726</t>
  </si>
  <si>
    <t>nam19@yahoo.com</t>
  </si>
  <si>
    <t>Trần Ngọc Nam</t>
  </si>
  <si>
    <t>18/09/1997</t>
  </si>
  <si>
    <t>0996994253</t>
  </si>
  <si>
    <t>nam20@outlook.com</t>
  </si>
  <si>
    <t>Trần Văn Nam</t>
  </si>
  <si>
    <t>1/1/1960</t>
  </si>
  <si>
    <t>1/1/1962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</si>
</sst>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rgb="FF1F497D"/>
      <name val="Arial"/>
      <family val="2"/>
    </font>
    <font>
      <sz val="10"/>
      <color rgb="FF1F497D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FamilyTree\f8\familytree_\Thong%20tin%20gia%20dinh.xlsm" TargetMode="External"/><Relationship Id="rId1" Type="http://schemas.openxmlformats.org/officeDocument/2006/relationships/externalLinkPath" Target="Thong%20tin%20gia%20din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creen"/>
      <sheetName val="Data"/>
      <sheetName val="Relationship"/>
      <sheetName val="Parameter"/>
    </sheetNames>
    <sheetDataSet>
      <sheetData sheetId="0"/>
      <sheetData sheetId="1"/>
      <sheetData sheetId="2"/>
      <sheetData sheetId="3">
        <row r="3">
          <cell r="C3">
            <v>1</v>
          </cell>
          <cell r="D3" t="str">
            <v>Vợ-chồng</v>
          </cell>
        </row>
        <row r="4">
          <cell r="C4">
            <v>2</v>
          </cell>
          <cell r="D4" t="str">
            <v>Bố mẹ - con cái</v>
          </cell>
        </row>
        <row r="5">
          <cell r="C5">
            <v>3</v>
          </cell>
          <cell r="D5" t="str">
            <v>Anh - chị - em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D2635-F2A7-4B87-AD30-902EC99059FB}">
  <sheetPr codeName="Sheet4"/>
  <dimension ref="A1"/>
  <sheetViews>
    <sheetView showGridLines="0" workbookViewId="0">
      <selection activeCell="C4" sqref="C4"/>
    </sheetView>
  </sheetViews>
  <sheetFormatPr defaultColWidth="9.1796875" defaultRowHeight="14.5" x14ac:dyDescent="0.35"/>
  <cols>
    <col min="1" max="16384" width="9.1796875" style="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96"/>
  <sheetViews>
    <sheetView zoomScaleNormal="100" workbookViewId="0">
      <selection activeCell="A22" sqref="A22"/>
    </sheetView>
  </sheetViews>
  <sheetFormatPr defaultRowHeight="14.5" x14ac:dyDescent="0.35"/>
  <cols>
    <col min="1" max="1" width="9" bestFit="1" customWidth="1"/>
    <col min="2" max="2" width="10.54296875" bestFit="1" customWidth="1"/>
    <col min="3" max="3" width="13.453125" bestFit="1" customWidth="1"/>
    <col min="4" max="4" width="10.1796875" bestFit="1" customWidth="1"/>
    <col min="5" max="5" width="8.81640625" style="2" customWidth="1"/>
    <col min="6" max="6" width="8.81640625" customWidth="1"/>
    <col min="7" max="7" width="10.54296875" bestFit="1" customWidth="1"/>
    <col min="8" max="8" width="14.81640625" bestFit="1" customWidth="1"/>
    <col min="9" max="9" width="13.26953125" bestFit="1" customWidth="1"/>
    <col min="10" max="10" width="14" bestFit="1" customWidth="1"/>
    <col min="11" max="11" width="18.54296875" bestFit="1" customWidth="1"/>
    <col min="12" max="12" width="7.81640625" bestFit="1" customWidth="1"/>
    <col min="13" max="13" width="14.1796875" style="1" bestFit="1" customWidth="1"/>
    <col min="14" max="14" width="14.81640625" bestFit="1" customWidth="1"/>
    <col min="15" max="15" width="8.81640625" bestFit="1" customWidth="1"/>
    <col min="16" max="16" width="17" style="2" bestFit="1" customWidth="1"/>
    <col min="17" max="17" width="15.1796875" bestFit="1" customWidth="1"/>
    <col min="18" max="18" width="10.7265625" bestFit="1" customWidth="1"/>
    <col min="19" max="19" width="24.453125" customWidth="1"/>
    <col min="20" max="20" width="14.1796875" customWidth="1"/>
    <col min="21" max="21" width="15.81640625" style="2" customWidth="1"/>
    <col min="22" max="23" width="22.26953125" bestFit="1" customWidth="1"/>
    <col min="24" max="24" width="16.54296875" bestFit="1" customWidth="1"/>
  </cols>
  <sheetData>
    <row r="1" spans="1:24" x14ac:dyDescent="0.35">
      <c r="A1" t="s">
        <v>0</v>
      </c>
      <c r="B1" t="s">
        <v>2</v>
      </c>
      <c r="C1" t="s">
        <v>3</v>
      </c>
      <c r="D1" t="s">
        <v>4</v>
      </c>
      <c r="E1" s="2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s="2" t="s">
        <v>16</v>
      </c>
      <c r="Q1" t="s">
        <v>17</v>
      </c>
      <c r="R1" t="s">
        <v>18</v>
      </c>
      <c r="S1" t="s">
        <v>19</v>
      </c>
      <c r="T1" t="s">
        <v>20</v>
      </c>
      <c r="U1" s="2" t="s">
        <v>21</v>
      </c>
      <c r="V1" t="s">
        <v>1</v>
      </c>
      <c r="W1" t="s">
        <v>60</v>
      </c>
      <c r="X1" t="s">
        <v>33</v>
      </c>
    </row>
    <row r="2" spans="1:24" x14ac:dyDescent="0.35">
      <c r="A2">
        <v>0</v>
      </c>
      <c r="B2" t="s">
        <v>84</v>
      </c>
      <c r="C2" t="s">
        <v>85</v>
      </c>
      <c r="D2" t="s">
        <v>86</v>
      </c>
      <c r="E2"/>
      <c r="F2" t="s">
        <v>22</v>
      </c>
      <c r="G2" t="s">
        <v>61</v>
      </c>
      <c r="H2" t="s">
        <v>87</v>
      </c>
      <c r="I2" t="s">
        <v>88</v>
      </c>
      <c r="J2" t="s">
        <v>87</v>
      </c>
      <c r="K2" t="s">
        <v>87</v>
      </c>
      <c r="L2" t="s">
        <v>89</v>
      </c>
      <c r="M2" t="s">
        <v>90</v>
      </c>
      <c r="N2" t="s">
        <v>87</v>
      </c>
      <c r="O2" t="s">
        <v>62</v>
      </c>
      <c r="P2" t="s">
        <v>69</v>
      </c>
      <c r="Q2" t="s">
        <v>89</v>
      </c>
      <c r="R2" t="s">
        <v>91</v>
      </c>
      <c r="S2" t="s">
        <v>92</v>
      </c>
      <c r="T2" t="s">
        <v>93</v>
      </c>
      <c r="U2"/>
      <c r="W2" t="s">
        <v>94</v>
      </c>
      <c r="X2" t="s">
        <v>65</v>
      </c>
    </row>
    <row r="3" spans="1:24" x14ac:dyDescent="0.35">
      <c r="A3">
        <v>1</v>
      </c>
      <c r="B3" t="s">
        <v>95</v>
      </c>
      <c r="C3" t="s">
        <v>96</v>
      </c>
      <c r="D3" t="s">
        <v>22</v>
      </c>
      <c r="E3"/>
      <c r="F3" t="s">
        <v>22</v>
      </c>
      <c r="G3" t="s">
        <v>61</v>
      </c>
      <c r="H3" t="s">
        <v>97</v>
      </c>
      <c r="I3" t="s">
        <v>98</v>
      </c>
      <c r="J3" t="s">
        <v>97</v>
      </c>
      <c r="K3" t="s">
        <v>99</v>
      </c>
      <c r="L3" t="s">
        <v>100</v>
      </c>
      <c r="M3"/>
      <c r="O3" t="s">
        <v>62</v>
      </c>
      <c r="P3" t="s">
        <v>66</v>
      </c>
      <c r="Q3" t="s">
        <v>89</v>
      </c>
      <c r="R3" t="s">
        <v>67</v>
      </c>
      <c r="S3" t="s">
        <v>101</v>
      </c>
      <c r="T3" t="s">
        <v>102</v>
      </c>
      <c r="U3" t="s">
        <v>103</v>
      </c>
      <c r="V3" t="s">
        <v>104</v>
      </c>
      <c r="W3" t="s">
        <v>105</v>
      </c>
      <c r="X3" t="s">
        <v>65</v>
      </c>
    </row>
    <row r="4" spans="1:24" x14ac:dyDescent="0.35">
      <c r="A4">
        <v>2</v>
      </c>
      <c r="B4" t="s">
        <v>106</v>
      </c>
      <c r="C4" t="s">
        <v>107</v>
      </c>
      <c r="D4" t="s">
        <v>108</v>
      </c>
      <c r="E4"/>
      <c r="F4" t="s">
        <v>23</v>
      </c>
      <c r="G4" t="s">
        <v>61</v>
      </c>
      <c r="H4" t="s">
        <v>97</v>
      </c>
      <c r="I4" t="s">
        <v>109</v>
      </c>
      <c r="J4" t="s">
        <v>110</v>
      </c>
      <c r="K4" t="s">
        <v>87</v>
      </c>
      <c r="L4" t="s">
        <v>100</v>
      </c>
      <c r="M4"/>
      <c r="O4" t="s">
        <v>62</v>
      </c>
      <c r="P4" t="s">
        <v>66</v>
      </c>
      <c r="Q4" t="s">
        <v>100</v>
      </c>
      <c r="R4" t="s">
        <v>68</v>
      </c>
      <c r="S4" t="s">
        <v>111</v>
      </c>
      <c r="T4" t="s">
        <v>112</v>
      </c>
      <c r="U4" t="s">
        <v>113</v>
      </c>
      <c r="V4" t="s">
        <v>114</v>
      </c>
      <c r="W4" t="s">
        <v>115</v>
      </c>
      <c r="X4" t="s">
        <v>65</v>
      </c>
    </row>
    <row r="5" spans="1:24" x14ac:dyDescent="0.35">
      <c r="A5">
        <v>3</v>
      </c>
      <c r="B5" t="s">
        <v>116</v>
      </c>
      <c r="C5" t="s">
        <v>117</v>
      </c>
      <c r="D5" t="s">
        <v>118</v>
      </c>
      <c r="E5"/>
      <c r="F5" t="s">
        <v>23</v>
      </c>
      <c r="G5" t="s">
        <v>61</v>
      </c>
      <c r="H5" t="s">
        <v>87</v>
      </c>
      <c r="I5" t="s">
        <v>119</v>
      </c>
      <c r="J5" t="s">
        <v>120</v>
      </c>
      <c r="K5" t="s">
        <v>87</v>
      </c>
      <c r="L5" t="s">
        <v>89</v>
      </c>
      <c r="M5" t="s">
        <v>121</v>
      </c>
      <c r="N5" t="s">
        <v>99</v>
      </c>
      <c r="O5" t="s">
        <v>62</v>
      </c>
      <c r="P5" t="s">
        <v>63</v>
      </c>
      <c r="Q5" t="s">
        <v>100</v>
      </c>
      <c r="R5" t="s">
        <v>122</v>
      </c>
      <c r="S5" t="s">
        <v>101</v>
      </c>
      <c r="T5" t="s">
        <v>123</v>
      </c>
      <c r="U5" t="s">
        <v>124</v>
      </c>
      <c r="V5" t="s">
        <v>125</v>
      </c>
      <c r="W5" t="s">
        <v>126</v>
      </c>
      <c r="X5" t="s">
        <v>65</v>
      </c>
    </row>
    <row r="6" spans="1:24" x14ac:dyDescent="0.35">
      <c r="A6">
        <v>4</v>
      </c>
      <c r="B6" t="s">
        <v>116</v>
      </c>
      <c r="C6" t="s">
        <v>127</v>
      </c>
      <c r="D6" t="s">
        <v>128</v>
      </c>
      <c r="E6"/>
      <c r="F6" t="s">
        <v>22</v>
      </c>
      <c r="G6" t="s">
        <v>61</v>
      </c>
      <c r="H6" t="s">
        <v>99</v>
      </c>
      <c r="I6" t="s">
        <v>129</v>
      </c>
      <c r="J6" t="s">
        <v>87</v>
      </c>
      <c r="K6" t="s">
        <v>110</v>
      </c>
      <c r="L6" t="s">
        <v>100</v>
      </c>
      <c r="M6"/>
      <c r="O6" t="s">
        <v>62</v>
      </c>
      <c r="P6" t="s">
        <v>69</v>
      </c>
      <c r="Q6" t="s">
        <v>100</v>
      </c>
      <c r="R6" t="s">
        <v>122</v>
      </c>
      <c r="S6" t="s">
        <v>130</v>
      </c>
      <c r="T6" t="s">
        <v>123</v>
      </c>
      <c r="U6" t="s">
        <v>131</v>
      </c>
      <c r="V6" t="s">
        <v>132</v>
      </c>
      <c r="W6" t="s">
        <v>133</v>
      </c>
      <c r="X6" t="s">
        <v>65</v>
      </c>
    </row>
    <row r="7" spans="1:24" x14ac:dyDescent="0.35">
      <c r="A7">
        <v>5</v>
      </c>
      <c r="B7" t="s">
        <v>116</v>
      </c>
      <c r="C7" t="s">
        <v>117</v>
      </c>
      <c r="D7" t="s">
        <v>22</v>
      </c>
      <c r="E7"/>
      <c r="F7" t="s">
        <v>22</v>
      </c>
      <c r="G7" t="s">
        <v>61</v>
      </c>
      <c r="H7" t="s">
        <v>87</v>
      </c>
      <c r="I7" t="s">
        <v>134</v>
      </c>
      <c r="J7" t="s">
        <v>99</v>
      </c>
      <c r="K7" t="s">
        <v>87</v>
      </c>
      <c r="L7" t="s">
        <v>89</v>
      </c>
      <c r="M7" t="s">
        <v>135</v>
      </c>
      <c r="N7" t="s">
        <v>99</v>
      </c>
      <c r="O7" t="s">
        <v>62</v>
      </c>
      <c r="P7" t="s">
        <v>69</v>
      </c>
      <c r="Q7" t="s">
        <v>89</v>
      </c>
      <c r="R7" t="s">
        <v>68</v>
      </c>
      <c r="S7" t="s">
        <v>130</v>
      </c>
      <c r="T7" t="s">
        <v>136</v>
      </c>
      <c r="U7" t="s">
        <v>137</v>
      </c>
      <c r="V7" t="s">
        <v>138</v>
      </c>
      <c r="W7" t="s">
        <v>139</v>
      </c>
      <c r="X7" t="s">
        <v>65</v>
      </c>
    </row>
    <row r="8" spans="1:24" x14ac:dyDescent="0.35">
      <c r="A8">
        <v>6</v>
      </c>
      <c r="B8" t="s">
        <v>140</v>
      </c>
      <c r="C8" t="s">
        <v>141</v>
      </c>
      <c r="D8" t="s">
        <v>142</v>
      </c>
      <c r="E8"/>
      <c r="F8" t="s">
        <v>22</v>
      </c>
      <c r="G8" t="s">
        <v>61</v>
      </c>
      <c r="H8" t="s">
        <v>87</v>
      </c>
      <c r="I8" t="s">
        <v>143</v>
      </c>
      <c r="J8" t="s">
        <v>110</v>
      </c>
      <c r="K8" t="s">
        <v>99</v>
      </c>
      <c r="L8" t="s">
        <v>100</v>
      </c>
      <c r="M8"/>
      <c r="O8" t="s">
        <v>62</v>
      </c>
      <c r="P8" t="s">
        <v>63</v>
      </c>
      <c r="Q8" t="s">
        <v>100</v>
      </c>
      <c r="R8" t="s">
        <v>64</v>
      </c>
      <c r="S8" t="s">
        <v>144</v>
      </c>
      <c r="T8" t="s">
        <v>102</v>
      </c>
      <c r="U8" t="s">
        <v>145</v>
      </c>
      <c r="V8" t="s">
        <v>146</v>
      </c>
      <c r="W8" t="s">
        <v>147</v>
      </c>
      <c r="X8" t="s">
        <v>65</v>
      </c>
    </row>
    <row r="9" spans="1:24" x14ac:dyDescent="0.35">
      <c r="A9">
        <v>7</v>
      </c>
      <c r="B9" t="s">
        <v>84</v>
      </c>
      <c r="C9" t="s">
        <v>85</v>
      </c>
      <c r="D9" t="s">
        <v>142</v>
      </c>
      <c r="E9"/>
      <c r="F9" t="s">
        <v>22</v>
      </c>
      <c r="G9" t="s">
        <v>61</v>
      </c>
      <c r="H9" t="s">
        <v>87</v>
      </c>
      <c r="I9" t="s">
        <v>148</v>
      </c>
      <c r="J9" t="s">
        <v>110</v>
      </c>
      <c r="K9" t="s">
        <v>87</v>
      </c>
      <c r="L9" t="s">
        <v>100</v>
      </c>
      <c r="M9"/>
      <c r="O9" t="s">
        <v>62</v>
      </c>
      <c r="P9" t="s">
        <v>69</v>
      </c>
      <c r="Q9" t="s">
        <v>100</v>
      </c>
      <c r="R9" t="s">
        <v>149</v>
      </c>
      <c r="S9" t="s">
        <v>144</v>
      </c>
      <c r="T9" t="s">
        <v>112</v>
      </c>
      <c r="U9" t="s">
        <v>150</v>
      </c>
      <c r="V9" t="s">
        <v>151</v>
      </c>
      <c r="W9" t="s">
        <v>152</v>
      </c>
      <c r="X9" t="s">
        <v>65</v>
      </c>
    </row>
    <row r="10" spans="1:24" x14ac:dyDescent="0.35">
      <c r="A10">
        <v>8</v>
      </c>
      <c r="B10" t="s">
        <v>84</v>
      </c>
      <c r="C10" t="s">
        <v>141</v>
      </c>
      <c r="D10" t="s">
        <v>153</v>
      </c>
      <c r="E10"/>
      <c r="F10" t="s">
        <v>22</v>
      </c>
      <c r="G10" t="s">
        <v>61</v>
      </c>
      <c r="H10" t="s">
        <v>99</v>
      </c>
      <c r="I10" t="s">
        <v>154</v>
      </c>
      <c r="J10" t="s">
        <v>120</v>
      </c>
      <c r="K10" t="s">
        <v>120</v>
      </c>
      <c r="L10" t="s">
        <v>89</v>
      </c>
      <c r="M10" t="s">
        <v>155</v>
      </c>
      <c r="N10" t="s">
        <v>97</v>
      </c>
      <c r="O10" t="s">
        <v>62</v>
      </c>
      <c r="P10" t="s">
        <v>63</v>
      </c>
      <c r="Q10" t="s">
        <v>89</v>
      </c>
      <c r="R10" t="s">
        <v>70</v>
      </c>
      <c r="S10" t="s">
        <v>111</v>
      </c>
      <c r="T10" t="s">
        <v>136</v>
      </c>
      <c r="U10" t="s">
        <v>156</v>
      </c>
      <c r="V10" t="s">
        <v>157</v>
      </c>
      <c r="W10" t="s">
        <v>158</v>
      </c>
      <c r="X10" t="s">
        <v>65</v>
      </c>
    </row>
    <row r="11" spans="1:24" x14ac:dyDescent="0.35">
      <c r="A11">
        <v>9</v>
      </c>
      <c r="B11" t="s">
        <v>140</v>
      </c>
      <c r="C11" t="s">
        <v>107</v>
      </c>
      <c r="D11" t="s">
        <v>159</v>
      </c>
      <c r="E11"/>
      <c r="F11" t="s">
        <v>23</v>
      </c>
      <c r="G11" t="s">
        <v>61</v>
      </c>
      <c r="H11" t="s">
        <v>120</v>
      </c>
      <c r="I11" t="s">
        <v>160</v>
      </c>
      <c r="J11" t="s">
        <v>99</v>
      </c>
      <c r="K11" t="s">
        <v>97</v>
      </c>
      <c r="L11" t="s">
        <v>100</v>
      </c>
      <c r="M11"/>
      <c r="O11" t="s">
        <v>62</v>
      </c>
      <c r="P11" t="s">
        <v>66</v>
      </c>
      <c r="Q11" t="s">
        <v>100</v>
      </c>
      <c r="R11" t="s">
        <v>149</v>
      </c>
      <c r="S11" t="s">
        <v>161</v>
      </c>
      <c r="T11" t="s">
        <v>123</v>
      </c>
      <c r="U11" t="s">
        <v>162</v>
      </c>
      <c r="V11" t="s">
        <v>163</v>
      </c>
      <c r="W11" t="s">
        <v>164</v>
      </c>
      <c r="X11" t="s">
        <v>65</v>
      </c>
    </row>
    <row r="12" spans="1:24" x14ac:dyDescent="0.35">
      <c r="A12">
        <v>10</v>
      </c>
      <c r="B12" t="s">
        <v>116</v>
      </c>
      <c r="C12" t="s">
        <v>85</v>
      </c>
      <c r="D12" t="s">
        <v>128</v>
      </c>
      <c r="E12"/>
      <c r="F12" t="s">
        <v>22</v>
      </c>
      <c r="G12" t="s">
        <v>61</v>
      </c>
      <c r="H12" t="s">
        <v>99</v>
      </c>
      <c r="I12" t="s">
        <v>165</v>
      </c>
      <c r="J12" t="s">
        <v>87</v>
      </c>
      <c r="K12" t="s">
        <v>97</v>
      </c>
      <c r="L12" t="s">
        <v>100</v>
      </c>
      <c r="M12"/>
      <c r="O12" t="s">
        <v>62</v>
      </c>
      <c r="P12" t="s">
        <v>66</v>
      </c>
      <c r="Q12" t="s">
        <v>100</v>
      </c>
      <c r="R12" t="s">
        <v>149</v>
      </c>
      <c r="S12" t="s">
        <v>161</v>
      </c>
      <c r="T12" t="s">
        <v>102</v>
      </c>
      <c r="U12" t="s">
        <v>166</v>
      </c>
      <c r="V12" t="s">
        <v>167</v>
      </c>
      <c r="W12" t="s">
        <v>168</v>
      </c>
      <c r="X12" t="s">
        <v>65</v>
      </c>
    </row>
    <row r="13" spans="1:24" x14ac:dyDescent="0.35">
      <c r="A13">
        <v>11</v>
      </c>
      <c r="B13" t="s">
        <v>116</v>
      </c>
      <c r="C13" t="s">
        <v>117</v>
      </c>
      <c r="D13" t="s">
        <v>159</v>
      </c>
      <c r="E13"/>
      <c r="F13" t="s">
        <v>23</v>
      </c>
      <c r="G13" t="s">
        <v>61</v>
      </c>
      <c r="H13" t="s">
        <v>87</v>
      </c>
      <c r="I13" t="s">
        <v>169</v>
      </c>
      <c r="J13" t="s">
        <v>110</v>
      </c>
      <c r="K13" t="s">
        <v>120</v>
      </c>
      <c r="L13" t="s">
        <v>100</v>
      </c>
      <c r="M13"/>
      <c r="O13" t="s">
        <v>62</v>
      </c>
      <c r="P13" t="s">
        <v>170</v>
      </c>
      <c r="Q13" t="s">
        <v>89</v>
      </c>
      <c r="R13" t="s">
        <v>67</v>
      </c>
      <c r="S13" t="s">
        <v>171</v>
      </c>
      <c r="T13" t="s">
        <v>102</v>
      </c>
      <c r="U13" t="s">
        <v>172</v>
      </c>
      <c r="V13" t="s">
        <v>173</v>
      </c>
      <c r="W13" t="s">
        <v>174</v>
      </c>
      <c r="X13" t="s">
        <v>65</v>
      </c>
    </row>
    <row r="14" spans="1:24" x14ac:dyDescent="0.35">
      <c r="A14">
        <v>12</v>
      </c>
      <c r="B14" t="s">
        <v>116</v>
      </c>
      <c r="C14" t="s">
        <v>117</v>
      </c>
      <c r="D14" t="s">
        <v>159</v>
      </c>
      <c r="E14"/>
      <c r="F14" t="s">
        <v>23</v>
      </c>
      <c r="G14" t="s">
        <v>61</v>
      </c>
      <c r="H14" t="s">
        <v>110</v>
      </c>
      <c r="I14" t="s">
        <v>175</v>
      </c>
      <c r="J14" t="s">
        <v>97</v>
      </c>
      <c r="K14" t="s">
        <v>110</v>
      </c>
      <c r="L14" t="s">
        <v>100</v>
      </c>
      <c r="M14"/>
      <c r="O14" t="s">
        <v>62</v>
      </c>
      <c r="P14" t="s">
        <v>69</v>
      </c>
      <c r="Q14" t="s">
        <v>89</v>
      </c>
      <c r="R14" t="s">
        <v>70</v>
      </c>
      <c r="S14" t="s">
        <v>144</v>
      </c>
      <c r="T14" t="s">
        <v>123</v>
      </c>
      <c r="U14" t="s">
        <v>176</v>
      </c>
      <c r="V14" t="s">
        <v>177</v>
      </c>
      <c r="W14" t="s">
        <v>174</v>
      </c>
      <c r="X14" t="s">
        <v>65</v>
      </c>
    </row>
    <row r="15" spans="1:24" x14ac:dyDescent="0.35">
      <c r="A15">
        <v>13</v>
      </c>
      <c r="B15" t="s">
        <v>106</v>
      </c>
      <c r="C15" t="s">
        <v>117</v>
      </c>
      <c r="D15" t="s">
        <v>178</v>
      </c>
      <c r="E15"/>
      <c r="F15" t="s">
        <v>23</v>
      </c>
      <c r="G15" t="s">
        <v>61</v>
      </c>
      <c r="H15" t="s">
        <v>110</v>
      </c>
      <c r="I15" t="s">
        <v>179</v>
      </c>
      <c r="J15" t="s">
        <v>120</v>
      </c>
      <c r="K15" t="s">
        <v>99</v>
      </c>
      <c r="L15" t="s">
        <v>100</v>
      </c>
      <c r="M15"/>
      <c r="O15" t="s">
        <v>62</v>
      </c>
      <c r="P15" t="s">
        <v>170</v>
      </c>
      <c r="Q15" t="s">
        <v>89</v>
      </c>
      <c r="R15" t="s">
        <v>64</v>
      </c>
      <c r="S15" t="s">
        <v>101</v>
      </c>
      <c r="T15" t="s">
        <v>112</v>
      </c>
      <c r="U15" t="s">
        <v>180</v>
      </c>
      <c r="V15" t="s">
        <v>181</v>
      </c>
      <c r="W15" t="s">
        <v>182</v>
      </c>
      <c r="X15" t="s">
        <v>65</v>
      </c>
    </row>
    <row r="16" spans="1:24" x14ac:dyDescent="0.35">
      <c r="A16">
        <v>14</v>
      </c>
      <c r="B16" t="s">
        <v>140</v>
      </c>
      <c r="C16" t="s">
        <v>183</v>
      </c>
      <c r="D16" t="s">
        <v>184</v>
      </c>
      <c r="E16"/>
      <c r="F16" t="s">
        <v>23</v>
      </c>
      <c r="G16" t="s">
        <v>61</v>
      </c>
      <c r="H16" t="s">
        <v>87</v>
      </c>
      <c r="I16" t="s">
        <v>185</v>
      </c>
      <c r="J16" t="s">
        <v>97</v>
      </c>
      <c r="K16" t="s">
        <v>97</v>
      </c>
      <c r="L16" t="s">
        <v>100</v>
      </c>
      <c r="M16"/>
      <c r="O16" t="s">
        <v>62</v>
      </c>
      <c r="P16" t="s">
        <v>170</v>
      </c>
      <c r="Q16" t="s">
        <v>100</v>
      </c>
      <c r="R16" t="s">
        <v>67</v>
      </c>
      <c r="S16" t="s">
        <v>111</v>
      </c>
      <c r="T16" t="s">
        <v>102</v>
      </c>
      <c r="U16" t="s">
        <v>186</v>
      </c>
      <c r="V16" t="s">
        <v>187</v>
      </c>
      <c r="W16" t="s">
        <v>188</v>
      </c>
      <c r="X16" t="s">
        <v>65</v>
      </c>
    </row>
    <row r="17" spans="1:24" x14ac:dyDescent="0.35">
      <c r="A17">
        <v>15</v>
      </c>
      <c r="B17" t="s">
        <v>84</v>
      </c>
      <c r="C17" t="s">
        <v>189</v>
      </c>
      <c r="D17" t="s">
        <v>178</v>
      </c>
      <c r="E17"/>
      <c r="F17" t="s">
        <v>23</v>
      </c>
      <c r="G17" t="s">
        <v>61</v>
      </c>
      <c r="H17" t="s">
        <v>120</v>
      </c>
      <c r="I17" t="s">
        <v>190</v>
      </c>
      <c r="J17" t="s">
        <v>97</v>
      </c>
      <c r="K17" t="s">
        <v>97</v>
      </c>
      <c r="L17" t="s">
        <v>100</v>
      </c>
      <c r="M17"/>
      <c r="O17" t="s">
        <v>62</v>
      </c>
      <c r="P17" t="s">
        <v>69</v>
      </c>
      <c r="Q17" t="s">
        <v>89</v>
      </c>
      <c r="R17" t="s">
        <v>68</v>
      </c>
      <c r="S17" t="s">
        <v>171</v>
      </c>
      <c r="T17" t="s">
        <v>191</v>
      </c>
      <c r="U17" t="s">
        <v>192</v>
      </c>
      <c r="V17" t="s">
        <v>193</v>
      </c>
      <c r="W17" t="s">
        <v>194</v>
      </c>
      <c r="X17" t="s">
        <v>65</v>
      </c>
    </row>
    <row r="18" spans="1:24" x14ac:dyDescent="0.35">
      <c r="A18">
        <v>16</v>
      </c>
      <c r="B18" t="s">
        <v>84</v>
      </c>
      <c r="C18" t="s">
        <v>96</v>
      </c>
      <c r="D18" t="s">
        <v>142</v>
      </c>
      <c r="E18"/>
      <c r="F18" t="s">
        <v>22</v>
      </c>
      <c r="G18" t="s">
        <v>61</v>
      </c>
      <c r="H18" t="s">
        <v>99</v>
      </c>
      <c r="I18" t="s">
        <v>195</v>
      </c>
      <c r="J18" t="s">
        <v>110</v>
      </c>
      <c r="K18" t="s">
        <v>97</v>
      </c>
      <c r="L18" t="s">
        <v>100</v>
      </c>
      <c r="M18"/>
      <c r="O18" t="s">
        <v>62</v>
      </c>
      <c r="P18" t="s">
        <v>170</v>
      </c>
      <c r="Q18" t="s">
        <v>89</v>
      </c>
      <c r="R18" t="s">
        <v>68</v>
      </c>
      <c r="S18" t="s">
        <v>111</v>
      </c>
      <c r="T18" t="s">
        <v>112</v>
      </c>
      <c r="U18" t="s">
        <v>196</v>
      </c>
      <c r="V18" t="s">
        <v>197</v>
      </c>
      <c r="W18" t="s">
        <v>198</v>
      </c>
      <c r="X18" t="s">
        <v>65</v>
      </c>
    </row>
    <row r="19" spans="1:24" x14ac:dyDescent="0.35">
      <c r="A19">
        <v>17</v>
      </c>
      <c r="B19" t="s">
        <v>95</v>
      </c>
      <c r="C19" t="s">
        <v>127</v>
      </c>
      <c r="D19" t="s">
        <v>153</v>
      </c>
      <c r="E19"/>
      <c r="F19" t="s">
        <v>22</v>
      </c>
      <c r="G19" t="s">
        <v>61</v>
      </c>
      <c r="H19" t="s">
        <v>110</v>
      </c>
      <c r="I19" t="s">
        <v>199</v>
      </c>
      <c r="J19" t="s">
        <v>120</v>
      </c>
      <c r="K19" t="s">
        <v>97</v>
      </c>
      <c r="L19" t="s">
        <v>100</v>
      </c>
      <c r="M19"/>
      <c r="O19" t="s">
        <v>62</v>
      </c>
      <c r="P19" t="s">
        <v>170</v>
      </c>
      <c r="Q19" t="s">
        <v>100</v>
      </c>
      <c r="R19" t="s">
        <v>70</v>
      </c>
      <c r="S19" t="s">
        <v>101</v>
      </c>
      <c r="T19" t="s">
        <v>112</v>
      </c>
      <c r="U19" t="s">
        <v>200</v>
      </c>
      <c r="V19" t="s">
        <v>201</v>
      </c>
      <c r="W19" t="s">
        <v>202</v>
      </c>
      <c r="X19" t="s">
        <v>65</v>
      </c>
    </row>
    <row r="20" spans="1:24" x14ac:dyDescent="0.35">
      <c r="A20">
        <v>18</v>
      </c>
      <c r="B20" t="s">
        <v>84</v>
      </c>
      <c r="C20" t="s">
        <v>127</v>
      </c>
      <c r="D20" t="s">
        <v>153</v>
      </c>
      <c r="E20"/>
      <c r="F20" t="s">
        <v>22</v>
      </c>
      <c r="G20" t="s">
        <v>61</v>
      </c>
      <c r="H20" t="s">
        <v>110</v>
      </c>
      <c r="I20" t="s">
        <v>203</v>
      </c>
      <c r="J20" t="s">
        <v>97</v>
      </c>
      <c r="K20" t="s">
        <v>99</v>
      </c>
      <c r="L20" t="s">
        <v>100</v>
      </c>
      <c r="M20"/>
      <c r="O20" t="s">
        <v>62</v>
      </c>
      <c r="P20" t="s">
        <v>170</v>
      </c>
      <c r="Q20" t="s">
        <v>89</v>
      </c>
      <c r="R20" t="s">
        <v>149</v>
      </c>
      <c r="S20" t="s">
        <v>171</v>
      </c>
      <c r="T20" t="s">
        <v>136</v>
      </c>
      <c r="U20" t="s">
        <v>204</v>
      </c>
      <c r="V20" t="s">
        <v>205</v>
      </c>
      <c r="W20" t="s">
        <v>206</v>
      </c>
      <c r="X20" t="s">
        <v>65</v>
      </c>
    </row>
    <row r="21" spans="1:24" x14ac:dyDescent="0.35">
      <c r="A21">
        <v>19</v>
      </c>
      <c r="B21" t="s">
        <v>140</v>
      </c>
      <c r="C21" t="s">
        <v>117</v>
      </c>
      <c r="D21" t="s">
        <v>22</v>
      </c>
      <c r="E21"/>
      <c r="F21" t="s">
        <v>22</v>
      </c>
      <c r="G21" t="s">
        <v>61</v>
      </c>
      <c r="H21" t="s">
        <v>99</v>
      </c>
      <c r="I21" t="s">
        <v>207</v>
      </c>
      <c r="J21" t="s">
        <v>110</v>
      </c>
      <c r="K21" t="s">
        <v>99</v>
      </c>
      <c r="L21" t="s">
        <v>100</v>
      </c>
      <c r="M21"/>
      <c r="O21" t="s">
        <v>62</v>
      </c>
      <c r="P21" t="s">
        <v>63</v>
      </c>
      <c r="Q21" t="s">
        <v>89</v>
      </c>
      <c r="R21" t="s">
        <v>64</v>
      </c>
      <c r="S21" t="s">
        <v>161</v>
      </c>
      <c r="T21" t="s">
        <v>123</v>
      </c>
      <c r="U21" t="s">
        <v>208</v>
      </c>
      <c r="V21" t="s">
        <v>209</v>
      </c>
      <c r="W21" t="s">
        <v>210</v>
      </c>
      <c r="X21" t="s">
        <v>65</v>
      </c>
    </row>
    <row r="22" spans="1:24" x14ac:dyDescent="0.35">
      <c r="A22">
        <v>20</v>
      </c>
      <c r="B22" t="s">
        <v>140</v>
      </c>
      <c r="C22" t="s">
        <v>85</v>
      </c>
      <c r="D22" t="s">
        <v>22</v>
      </c>
      <c r="E22"/>
      <c r="F22" t="s">
        <v>22</v>
      </c>
      <c r="G22" t="s">
        <v>61</v>
      </c>
      <c r="H22" t="s">
        <v>120</v>
      </c>
      <c r="I22" t="s">
        <v>211</v>
      </c>
      <c r="J22" t="s">
        <v>120</v>
      </c>
      <c r="K22" t="s">
        <v>120</v>
      </c>
      <c r="L22" t="s">
        <v>100</v>
      </c>
      <c r="M22"/>
      <c r="O22" t="s">
        <v>62</v>
      </c>
      <c r="P22" t="s">
        <v>66</v>
      </c>
      <c r="Q22" t="s">
        <v>100</v>
      </c>
      <c r="R22" t="s">
        <v>122</v>
      </c>
      <c r="S22" t="s">
        <v>130</v>
      </c>
      <c r="T22" t="s">
        <v>123</v>
      </c>
      <c r="U22" t="s">
        <v>212</v>
      </c>
      <c r="V22" t="s">
        <v>213</v>
      </c>
      <c r="W22" t="s">
        <v>214</v>
      </c>
      <c r="X22" t="s">
        <v>65</v>
      </c>
    </row>
    <row r="23" spans="1:24" x14ac:dyDescent="0.35">
      <c r="I23" s="1"/>
    </row>
    <row r="24" spans="1:24" x14ac:dyDescent="0.35">
      <c r="I24" s="1"/>
    </row>
    <row r="25" spans="1:24" x14ac:dyDescent="0.35">
      <c r="I25" s="1"/>
    </row>
    <row r="26" spans="1:24" x14ac:dyDescent="0.35">
      <c r="I26" s="1"/>
    </row>
    <row r="28" spans="1:24" x14ac:dyDescent="0.35">
      <c r="I28" s="1"/>
    </row>
    <row r="31" spans="1:24" x14ac:dyDescent="0.35">
      <c r="I31" s="1"/>
    </row>
    <row r="37" spans="9:9" x14ac:dyDescent="0.35">
      <c r="I37" s="1"/>
    </row>
    <row r="38" spans="9:9" x14ac:dyDescent="0.35">
      <c r="I38" s="1"/>
    </row>
    <row r="39" spans="9:9" x14ac:dyDescent="0.35">
      <c r="I39" s="1"/>
    </row>
    <row r="40" spans="9:9" x14ac:dyDescent="0.35">
      <c r="I40" s="1"/>
    </row>
    <row r="46" spans="9:9" x14ac:dyDescent="0.35">
      <c r="I46" s="1"/>
    </row>
    <row r="47" spans="9:9" x14ac:dyDescent="0.35">
      <c r="I47" s="1"/>
    </row>
    <row r="48" spans="9:9" x14ac:dyDescent="0.35">
      <c r="I48" s="1"/>
    </row>
    <row r="49" spans="9:19" x14ac:dyDescent="0.35">
      <c r="I49" s="1"/>
    </row>
    <row r="55" spans="9:19" x14ac:dyDescent="0.35">
      <c r="I55" s="1"/>
    </row>
    <row r="56" spans="9:19" x14ac:dyDescent="0.35">
      <c r="I56" s="1"/>
    </row>
    <row r="59" spans="9:19" x14ac:dyDescent="0.35">
      <c r="S59" s="3"/>
    </row>
    <row r="60" spans="9:19" x14ac:dyDescent="0.35">
      <c r="I60" s="1"/>
    </row>
    <row r="61" spans="9:19" x14ac:dyDescent="0.35">
      <c r="I61" s="1"/>
    </row>
    <row r="62" spans="9:19" x14ac:dyDescent="0.35">
      <c r="I62" s="1"/>
    </row>
    <row r="63" spans="9:19" x14ac:dyDescent="0.35">
      <c r="I63" s="1"/>
    </row>
    <row r="64" spans="9:19" x14ac:dyDescent="0.35">
      <c r="I64" s="1"/>
    </row>
    <row r="74" spans="9:9" x14ac:dyDescent="0.35">
      <c r="I74" s="1"/>
    </row>
    <row r="75" spans="9:9" x14ac:dyDescent="0.35">
      <c r="I75" s="1"/>
    </row>
    <row r="82" spans="9:20" x14ac:dyDescent="0.35">
      <c r="I82" s="1"/>
    </row>
    <row r="94" spans="9:20" x14ac:dyDescent="0.35">
      <c r="I94" s="1"/>
    </row>
    <row r="95" spans="9:20" x14ac:dyDescent="0.35">
      <c r="I95" s="1"/>
      <c r="Q95" s="3"/>
      <c r="S95" s="3"/>
      <c r="T95" s="3"/>
    </row>
    <row r="96" spans="9:20" x14ac:dyDescent="0.35">
      <c r="I96" s="1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5"/>
  <sheetViews>
    <sheetView tabSelected="1" topLeftCell="A4" workbookViewId="0">
      <selection activeCell="A26" sqref="A26:XFD27"/>
    </sheetView>
  </sheetViews>
  <sheetFormatPr defaultRowHeight="14.5" x14ac:dyDescent="0.35"/>
  <cols>
    <col min="1" max="1" width="14.1796875" bestFit="1" customWidth="1"/>
    <col min="2" max="2" width="13.7265625" customWidth="1"/>
    <col min="3" max="3" width="16.453125" customWidth="1"/>
    <col min="4" max="4" width="21.54296875" bestFit="1" customWidth="1"/>
    <col min="5" max="5" width="26.1796875" customWidth="1"/>
    <col min="6" max="6" width="26.453125" customWidth="1"/>
    <col min="7" max="7" width="21.81640625" customWidth="1"/>
    <col min="8" max="8" width="22.81640625" customWidth="1"/>
    <col min="9" max="9" width="25" customWidth="1"/>
    <col min="10" max="10" width="16.54296875" bestFit="1" customWidth="1"/>
  </cols>
  <sheetData>
    <row r="1" spans="1:11" x14ac:dyDescent="0.35">
      <c r="A1" t="s">
        <v>29</v>
      </c>
      <c r="B1" t="s">
        <v>27</v>
      </c>
      <c r="C1" t="s">
        <v>28</v>
      </c>
      <c r="D1" t="s">
        <v>24</v>
      </c>
      <c r="E1" t="s">
        <v>25</v>
      </c>
      <c r="F1" t="s">
        <v>26</v>
      </c>
      <c r="G1" t="s">
        <v>30</v>
      </c>
      <c r="H1" t="s">
        <v>31</v>
      </c>
      <c r="I1" t="s">
        <v>32</v>
      </c>
      <c r="J1" t="s">
        <v>33</v>
      </c>
    </row>
    <row r="2" spans="1:11" x14ac:dyDescent="0.35">
      <c r="A2">
        <v>1</v>
      </c>
      <c r="B2">
        <v>0</v>
      </c>
      <c r="C2">
        <v>1</v>
      </c>
      <c r="D2" t="s">
        <v>215</v>
      </c>
      <c r="F2">
        <v>2</v>
      </c>
      <c r="G2">
        <v>3</v>
      </c>
      <c r="H2">
        <v>5</v>
      </c>
      <c r="J2" t="s">
        <v>65</v>
      </c>
      <c r="K2" t="str">
        <f>VLOOKUP(F2,[1]Parameter!$C$3:$D$5,2,0)</f>
        <v>Bố mẹ - con cái</v>
      </c>
    </row>
    <row r="3" spans="1:11" x14ac:dyDescent="0.35">
      <c r="A3">
        <v>2</v>
      </c>
      <c r="B3">
        <v>1</v>
      </c>
      <c r="C3">
        <v>3</v>
      </c>
      <c r="D3" t="s">
        <v>216</v>
      </c>
      <c r="F3">
        <v>2</v>
      </c>
      <c r="G3">
        <v>3</v>
      </c>
      <c r="H3">
        <v>5</v>
      </c>
      <c r="J3" t="s">
        <v>65</v>
      </c>
      <c r="K3" t="str">
        <f>VLOOKUP(F3,[1]Parameter!$C$3:$D$5,2,0)</f>
        <v>Bố mẹ - con cái</v>
      </c>
    </row>
    <row r="4" spans="1:11" x14ac:dyDescent="0.35">
      <c r="A4">
        <v>6</v>
      </c>
      <c r="B4">
        <v>1</v>
      </c>
      <c r="C4">
        <v>2</v>
      </c>
      <c r="D4" t="s">
        <v>71</v>
      </c>
      <c r="E4" s="7"/>
      <c r="F4">
        <v>1</v>
      </c>
      <c r="G4">
        <v>2</v>
      </c>
      <c r="H4">
        <v>1</v>
      </c>
      <c r="I4" t="s">
        <v>72</v>
      </c>
      <c r="J4" t="s">
        <v>65</v>
      </c>
      <c r="K4" t="str">
        <f>VLOOKUP(F4,[1]Parameter!$C$3:$D$5,2,0)</f>
        <v>Vợ-chồng</v>
      </c>
    </row>
    <row r="5" spans="1:11" x14ac:dyDescent="0.35">
      <c r="A5">
        <v>7</v>
      </c>
      <c r="B5">
        <v>3</v>
      </c>
      <c r="C5">
        <v>4</v>
      </c>
      <c r="D5" t="s">
        <v>73</v>
      </c>
      <c r="E5" s="7"/>
      <c r="F5">
        <v>1</v>
      </c>
      <c r="G5">
        <v>2</v>
      </c>
      <c r="H5">
        <v>1</v>
      </c>
      <c r="J5" t="s">
        <v>65</v>
      </c>
      <c r="K5" t="str">
        <f>VLOOKUP(F5,[1]Parameter!$C$3:$D$5,2,0)</f>
        <v>Vợ-chồng</v>
      </c>
    </row>
    <row r="6" spans="1:11" x14ac:dyDescent="0.35">
      <c r="A6" s="6">
        <v>8</v>
      </c>
      <c r="B6" s="6">
        <v>5</v>
      </c>
      <c r="C6" s="6">
        <v>6</v>
      </c>
      <c r="D6" s="6" t="s">
        <v>74</v>
      </c>
      <c r="E6" s="7"/>
      <c r="F6" s="6">
        <v>1</v>
      </c>
      <c r="G6" s="6">
        <v>2</v>
      </c>
      <c r="H6" s="6">
        <v>1</v>
      </c>
      <c r="I6" s="6"/>
      <c r="J6" s="6" t="s">
        <v>65</v>
      </c>
      <c r="K6" s="6" t="str">
        <f>VLOOKUP(F6,[1]Parameter!$C$3:$D$5,2,0)</f>
        <v>Vợ-chồng</v>
      </c>
    </row>
    <row r="7" spans="1:11" x14ac:dyDescent="0.35">
      <c r="A7" s="6">
        <v>9</v>
      </c>
      <c r="B7" s="6">
        <v>7</v>
      </c>
      <c r="C7" s="6">
        <v>8</v>
      </c>
      <c r="D7" s="6" t="s">
        <v>75</v>
      </c>
      <c r="F7" s="6">
        <v>1</v>
      </c>
      <c r="G7" s="6">
        <v>2</v>
      </c>
      <c r="H7" s="6">
        <v>1</v>
      </c>
      <c r="I7" s="6"/>
      <c r="J7" s="6" t="s">
        <v>65</v>
      </c>
      <c r="K7" s="6" t="str">
        <f>VLOOKUP(F7,[1]Parameter!$C$3:$D$5,2,0)</f>
        <v>Vợ-chồng</v>
      </c>
    </row>
    <row r="8" spans="1:11" x14ac:dyDescent="0.35">
      <c r="A8" s="6">
        <v>10</v>
      </c>
      <c r="B8" s="6">
        <v>9</v>
      </c>
      <c r="C8" s="6">
        <v>10</v>
      </c>
      <c r="D8" s="6" t="s">
        <v>76</v>
      </c>
      <c r="F8" s="6">
        <v>1</v>
      </c>
      <c r="G8" s="6">
        <v>2</v>
      </c>
      <c r="H8" s="6">
        <v>1</v>
      </c>
      <c r="I8" s="6"/>
      <c r="J8" s="6" t="s">
        <v>65</v>
      </c>
      <c r="K8" s="6" t="str">
        <f>VLOOKUP(F8,[1]Parameter!$C$3:$D$5,2,0)</f>
        <v>Vợ-chồng</v>
      </c>
    </row>
    <row r="9" spans="1:11" x14ac:dyDescent="0.35">
      <c r="A9">
        <v>11</v>
      </c>
      <c r="B9">
        <v>1</v>
      </c>
      <c r="C9">
        <v>11</v>
      </c>
      <c r="D9" t="s">
        <v>77</v>
      </c>
      <c r="F9">
        <v>2</v>
      </c>
      <c r="G9">
        <v>3</v>
      </c>
      <c r="H9">
        <v>5</v>
      </c>
      <c r="J9" t="s">
        <v>65</v>
      </c>
      <c r="K9" t="str">
        <f>VLOOKUP(F9,[1]Parameter!$C$3:$D$5,2,0)</f>
        <v>Bố mẹ - con cái</v>
      </c>
    </row>
    <row r="10" spans="1:11" x14ac:dyDescent="0.35">
      <c r="A10">
        <v>12</v>
      </c>
      <c r="B10">
        <v>2</v>
      </c>
      <c r="C10">
        <v>11</v>
      </c>
      <c r="D10" t="s">
        <v>77</v>
      </c>
      <c r="F10">
        <v>2</v>
      </c>
      <c r="G10">
        <v>4</v>
      </c>
      <c r="H10">
        <v>5</v>
      </c>
      <c r="J10" t="s">
        <v>65</v>
      </c>
      <c r="K10" t="str">
        <f>VLOOKUP(F10,[1]Parameter!$C$3:$D$5,2,0)</f>
        <v>Bố mẹ - con cái</v>
      </c>
    </row>
    <row r="11" spans="1:11" x14ac:dyDescent="0.35">
      <c r="A11">
        <v>13</v>
      </c>
      <c r="B11">
        <v>1</v>
      </c>
      <c r="C11">
        <v>13</v>
      </c>
      <c r="D11" t="s">
        <v>78</v>
      </c>
      <c r="F11">
        <v>2</v>
      </c>
      <c r="G11">
        <v>3</v>
      </c>
      <c r="H11">
        <v>6</v>
      </c>
      <c r="J11" t="s">
        <v>65</v>
      </c>
      <c r="K11" t="str">
        <f>VLOOKUP(F11,[1]Parameter!$C$3:$D$5,2,0)</f>
        <v>Bố mẹ - con cái</v>
      </c>
    </row>
    <row r="12" spans="1:11" x14ac:dyDescent="0.35">
      <c r="A12" s="8">
        <v>14</v>
      </c>
      <c r="B12" s="8">
        <v>2</v>
      </c>
      <c r="C12" s="8">
        <v>13</v>
      </c>
      <c r="D12" s="8" t="s">
        <v>78</v>
      </c>
      <c r="F12" s="8">
        <v>2</v>
      </c>
      <c r="G12" s="8">
        <v>4</v>
      </c>
      <c r="H12" s="8">
        <v>6</v>
      </c>
      <c r="I12" s="8"/>
      <c r="J12" s="8" t="s">
        <v>65</v>
      </c>
      <c r="K12" s="8" t="str">
        <f>VLOOKUP(F12,[1]Parameter!$C$3:$D$5,2,0)</f>
        <v>Bố mẹ - con cái</v>
      </c>
    </row>
    <row r="13" spans="1:11" x14ac:dyDescent="0.35">
      <c r="A13">
        <v>15</v>
      </c>
      <c r="B13">
        <v>3</v>
      </c>
      <c r="C13">
        <v>15</v>
      </c>
      <c r="D13" t="s">
        <v>79</v>
      </c>
      <c r="F13">
        <v>2</v>
      </c>
      <c r="G13">
        <v>3</v>
      </c>
      <c r="H13">
        <v>5</v>
      </c>
      <c r="J13" t="s">
        <v>65</v>
      </c>
      <c r="K13" t="str">
        <f>VLOOKUP(F13,[1]Parameter!$C$3:$D$5,2,0)</f>
        <v>Bố mẹ - con cái</v>
      </c>
    </row>
    <row r="14" spans="1:11" x14ac:dyDescent="0.35">
      <c r="A14">
        <v>16</v>
      </c>
      <c r="B14">
        <v>4</v>
      </c>
      <c r="C14">
        <v>15</v>
      </c>
      <c r="D14" t="s">
        <v>79</v>
      </c>
      <c r="F14">
        <v>2</v>
      </c>
      <c r="G14">
        <v>4</v>
      </c>
      <c r="H14">
        <v>5</v>
      </c>
      <c r="J14" t="s">
        <v>65</v>
      </c>
      <c r="K14" t="str">
        <f>VLOOKUP(F14,[1]Parameter!$C$3:$D$5,2,0)</f>
        <v>Bố mẹ - con cái</v>
      </c>
    </row>
    <row r="15" spans="1:11" x14ac:dyDescent="0.35">
      <c r="A15">
        <v>17</v>
      </c>
      <c r="B15">
        <v>3</v>
      </c>
      <c r="C15">
        <v>17</v>
      </c>
      <c r="D15" t="s">
        <v>80</v>
      </c>
      <c r="F15">
        <v>2</v>
      </c>
      <c r="G15">
        <v>3</v>
      </c>
      <c r="H15">
        <v>6</v>
      </c>
      <c r="J15" t="s">
        <v>65</v>
      </c>
      <c r="K15" t="str">
        <f>VLOOKUP(F15,[1]Parameter!$C$3:$D$5,2,0)</f>
        <v>Bố mẹ - con cái</v>
      </c>
    </row>
    <row r="16" spans="1:11" x14ac:dyDescent="0.35">
      <c r="A16">
        <v>18</v>
      </c>
      <c r="B16">
        <v>4</v>
      </c>
      <c r="C16">
        <v>17</v>
      </c>
      <c r="D16" t="s">
        <v>80</v>
      </c>
      <c r="F16">
        <v>2</v>
      </c>
      <c r="G16">
        <v>4</v>
      </c>
      <c r="H16">
        <v>6</v>
      </c>
      <c r="J16" t="s">
        <v>65</v>
      </c>
      <c r="K16" t="str">
        <f>VLOOKUP(F16,[1]Parameter!$C$3:$D$5,2,0)</f>
        <v>Bố mẹ - con cái</v>
      </c>
    </row>
    <row r="17" spans="1:11" x14ac:dyDescent="0.35">
      <c r="A17">
        <v>19</v>
      </c>
      <c r="B17">
        <v>11</v>
      </c>
      <c r="C17">
        <v>12</v>
      </c>
      <c r="D17" t="s">
        <v>81</v>
      </c>
      <c r="F17">
        <v>1</v>
      </c>
      <c r="G17">
        <v>2</v>
      </c>
      <c r="H17">
        <v>1</v>
      </c>
      <c r="J17" t="s">
        <v>65</v>
      </c>
      <c r="K17" t="str">
        <f>VLOOKUP(F17,[1]Parameter!$C$3:$D$5,2,0)</f>
        <v>Vợ-chồng</v>
      </c>
    </row>
    <row r="18" spans="1:11" x14ac:dyDescent="0.35">
      <c r="A18">
        <v>20</v>
      </c>
      <c r="B18">
        <v>13</v>
      </c>
      <c r="C18">
        <v>14</v>
      </c>
      <c r="D18" t="s">
        <v>82</v>
      </c>
      <c r="F18">
        <v>1</v>
      </c>
      <c r="G18">
        <v>2</v>
      </c>
      <c r="H18">
        <v>1</v>
      </c>
      <c r="J18" t="s">
        <v>65</v>
      </c>
      <c r="K18" t="str">
        <f>VLOOKUP(F18,[1]Parameter!$C$3:$D$5,2,0)</f>
        <v>Vợ-chồng</v>
      </c>
    </row>
    <row r="19" spans="1:11" x14ac:dyDescent="0.35">
      <c r="A19">
        <v>21</v>
      </c>
      <c r="B19">
        <v>15</v>
      </c>
      <c r="C19">
        <v>16</v>
      </c>
      <c r="D19" t="s">
        <v>82</v>
      </c>
      <c r="F19">
        <v>1</v>
      </c>
      <c r="G19">
        <v>2</v>
      </c>
      <c r="H19">
        <v>1</v>
      </c>
      <c r="J19" t="s">
        <v>65</v>
      </c>
      <c r="K19" t="str">
        <f>VLOOKUP(F19,[1]Parameter!$C$3:$D$5,2,0)</f>
        <v>Vợ-chồng</v>
      </c>
    </row>
    <row r="20" spans="1:11" x14ac:dyDescent="0.35">
      <c r="A20">
        <v>22</v>
      </c>
      <c r="B20">
        <v>17</v>
      </c>
      <c r="C20">
        <v>18</v>
      </c>
      <c r="D20" t="s">
        <v>82</v>
      </c>
      <c r="F20">
        <v>1</v>
      </c>
      <c r="G20">
        <v>2</v>
      </c>
      <c r="H20">
        <v>1</v>
      </c>
      <c r="J20" t="s">
        <v>65</v>
      </c>
      <c r="K20" t="str">
        <f>VLOOKUP(F20,[1]Parameter!$C$3:$D$5,2,0)</f>
        <v>Vợ-chồng</v>
      </c>
    </row>
    <row r="21" spans="1:11" x14ac:dyDescent="0.35">
      <c r="A21">
        <v>23</v>
      </c>
      <c r="B21">
        <v>11</v>
      </c>
      <c r="C21">
        <v>19</v>
      </c>
      <c r="D21" t="s">
        <v>83</v>
      </c>
      <c r="F21">
        <v>2</v>
      </c>
      <c r="G21">
        <v>3</v>
      </c>
      <c r="H21">
        <v>5</v>
      </c>
      <c r="J21" t="s">
        <v>65</v>
      </c>
      <c r="K21" t="str">
        <f>VLOOKUP(F21,[1]Parameter!$C$3:$D$5,2,0)</f>
        <v>Bố mẹ - con cái</v>
      </c>
    </row>
    <row r="22" spans="1:11" x14ac:dyDescent="0.35">
      <c r="A22">
        <v>24</v>
      </c>
      <c r="B22">
        <v>12</v>
      </c>
      <c r="C22">
        <v>19</v>
      </c>
      <c r="D22" t="s">
        <v>83</v>
      </c>
      <c r="F22">
        <v>2</v>
      </c>
      <c r="G22">
        <v>4</v>
      </c>
      <c r="H22">
        <v>5</v>
      </c>
      <c r="J22" t="s">
        <v>65</v>
      </c>
      <c r="K22" t="str">
        <f>VLOOKUP(F22,[1]Parameter!$C$3:$D$5,2,0)</f>
        <v>Bố mẹ - con cái</v>
      </c>
    </row>
    <row r="23" spans="1:11" x14ac:dyDescent="0.35">
      <c r="A23">
        <v>25</v>
      </c>
      <c r="B23">
        <v>11</v>
      </c>
      <c r="C23">
        <v>20</v>
      </c>
      <c r="D23" t="s">
        <v>83</v>
      </c>
      <c r="F23">
        <v>2</v>
      </c>
      <c r="G23">
        <v>3</v>
      </c>
      <c r="H23">
        <v>6</v>
      </c>
      <c r="J23" t="s">
        <v>65</v>
      </c>
      <c r="K23" t="str">
        <f>VLOOKUP(F23,[1]Parameter!$C$3:$D$5,2,0)</f>
        <v>Bố mẹ - con cái</v>
      </c>
    </row>
    <row r="24" spans="1:11" x14ac:dyDescent="0.35">
      <c r="A24">
        <v>26</v>
      </c>
      <c r="B24">
        <v>12</v>
      </c>
      <c r="C24">
        <v>20</v>
      </c>
      <c r="D24" t="s">
        <v>83</v>
      </c>
      <c r="F24">
        <v>2</v>
      </c>
      <c r="G24">
        <v>4</v>
      </c>
      <c r="H24">
        <v>6</v>
      </c>
      <c r="J24" t="s">
        <v>65</v>
      </c>
      <c r="K24" t="str">
        <f>VLOOKUP(F24,[1]Parameter!$C$3:$D$5,2,0)</f>
        <v>Bố mẹ - con cái</v>
      </c>
    </row>
    <row r="25" spans="1:11" x14ac:dyDescent="0.35">
      <c r="A25" s="7">
        <v>27</v>
      </c>
      <c r="B25" s="7">
        <v>0</v>
      </c>
      <c r="C25" s="7">
        <v>21</v>
      </c>
      <c r="D25" s="7" t="s">
        <v>83</v>
      </c>
      <c r="F25" s="7">
        <v>1</v>
      </c>
      <c r="G25" s="7">
        <v>1</v>
      </c>
      <c r="H25" s="7">
        <v>2</v>
      </c>
      <c r="I25" s="7"/>
      <c r="J25" s="7" t="s">
        <v>65</v>
      </c>
      <c r="K25" t="str">
        <f>VLOOKUP(F25,[1]Parameter!$C$3:$D$5,2,0)</f>
        <v>Vợ-chồng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9"/>
  <sheetViews>
    <sheetView workbookViewId="0">
      <selection activeCell="D12" sqref="D12"/>
    </sheetView>
  </sheetViews>
  <sheetFormatPr defaultRowHeight="14.5" x14ac:dyDescent="0.35"/>
  <cols>
    <col min="1" max="1" width="14.1796875" customWidth="1"/>
    <col min="3" max="3" width="16.7265625" bestFit="1" customWidth="1"/>
    <col min="4" max="4" width="22.26953125" bestFit="1" customWidth="1"/>
    <col min="5" max="5" width="9.81640625" customWidth="1"/>
    <col min="6" max="6" width="18.26953125" customWidth="1"/>
    <col min="7" max="7" width="19.7265625" customWidth="1"/>
  </cols>
  <sheetData>
    <row r="1" spans="1:7" x14ac:dyDescent="0.35">
      <c r="A1" t="s">
        <v>34</v>
      </c>
      <c r="C1" s="4" t="s">
        <v>36</v>
      </c>
      <c r="F1" t="s">
        <v>40</v>
      </c>
    </row>
    <row r="2" spans="1:7" x14ac:dyDescent="0.35">
      <c r="A2" s="1" t="s">
        <v>22</v>
      </c>
      <c r="C2" s="5" t="s">
        <v>26</v>
      </c>
      <c r="D2" t="s">
        <v>35</v>
      </c>
      <c r="F2" t="s">
        <v>41</v>
      </c>
      <c r="G2" t="s">
        <v>42</v>
      </c>
    </row>
    <row r="3" spans="1:7" x14ac:dyDescent="0.35">
      <c r="A3" s="1" t="s">
        <v>23</v>
      </c>
      <c r="C3">
        <v>1</v>
      </c>
      <c r="D3" t="s">
        <v>37</v>
      </c>
      <c r="F3">
        <v>1</v>
      </c>
      <c r="G3" t="s">
        <v>43</v>
      </c>
    </row>
    <row r="4" spans="1:7" x14ac:dyDescent="0.35">
      <c r="A4" s="1"/>
      <c r="C4">
        <v>2</v>
      </c>
      <c r="D4" t="s">
        <v>38</v>
      </c>
      <c r="F4">
        <v>2</v>
      </c>
      <c r="G4" t="s">
        <v>44</v>
      </c>
    </row>
    <row r="5" spans="1:7" x14ac:dyDescent="0.35">
      <c r="C5">
        <v>3</v>
      </c>
      <c r="D5" t="s">
        <v>39</v>
      </c>
      <c r="F5">
        <v>3</v>
      </c>
      <c r="G5" t="s">
        <v>45</v>
      </c>
    </row>
    <row r="6" spans="1:7" x14ac:dyDescent="0.35">
      <c r="F6">
        <v>4</v>
      </c>
      <c r="G6" t="s">
        <v>46</v>
      </c>
    </row>
    <row r="7" spans="1:7" x14ac:dyDescent="0.35">
      <c r="F7">
        <v>5</v>
      </c>
      <c r="G7" t="s">
        <v>47</v>
      </c>
    </row>
    <row r="8" spans="1:7" x14ac:dyDescent="0.35">
      <c r="F8">
        <v>6</v>
      </c>
      <c r="G8" t="s">
        <v>48</v>
      </c>
    </row>
    <row r="9" spans="1:7" x14ac:dyDescent="0.35">
      <c r="F9">
        <v>7</v>
      </c>
      <c r="G9" t="s">
        <v>49</v>
      </c>
    </row>
    <row r="10" spans="1:7" x14ac:dyDescent="0.35">
      <c r="F10">
        <v>8</v>
      </c>
      <c r="G10" t="s">
        <v>50</v>
      </c>
    </row>
    <row r="11" spans="1:7" x14ac:dyDescent="0.35">
      <c r="F11">
        <v>9</v>
      </c>
      <c r="G11" t="s">
        <v>51</v>
      </c>
    </row>
    <row r="12" spans="1:7" x14ac:dyDescent="0.35">
      <c r="F12">
        <v>10</v>
      </c>
      <c r="G12" t="s">
        <v>52</v>
      </c>
    </row>
    <row r="13" spans="1:7" x14ac:dyDescent="0.35">
      <c r="F13">
        <v>11</v>
      </c>
      <c r="G13" t="s">
        <v>53</v>
      </c>
    </row>
    <row r="14" spans="1:7" x14ac:dyDescent="0.35">
      <c r="F14">
        <v>12</v>
      </c>
      <c r="G14" t="s">
        <v>54</v>
      </c>
    </row>
    <row r="15" spans="1:7" x14ac:dyDescent="0.35">
      <c r="F15">
        <v>13</v>
      </c>
      <c r="G15" t="s">
        <v>55</v>
      </c>
    </row>
    <row r="16" spans="1:7" x14ac:dyDescent="0.35">
      <c r="F16">
        <v>14</v>
      </c>
      <c r="G16" t="s">
        <v>56</v>
      </c>
    </row>
    <row r="17" spans="6:7" x14ac:dyDescent="0.35">
      <c r="F17">
        <v>15</v>
      </c>
      <c r="G17" t="s">
        <v>57</v>
      </c>
    </row>
    <row r="18" spans="6:7" x14ac:dyDescent="0.35">
      <c r="F18">
        <v>16</v>
      </c>
      <c r="G18" t="s">
        <v>58</v>
      </c>
    </row>
    <row r="19" spans="6:7" x14ac:dyDescent="0.35">
      <c r="F19">
        <v>17</v>
      </c>
      <c r="G19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Screen</vt:lpstr>
      <vt:lpstr>Data</vt:lpstr>
      <vt:lpstr>Relationship</vt:lpstr>
      <vt:lpstr>Parameter</vt:lpstr>
      <vt:lpstr>connection_type</vt:lpstr>
      <vt:lpstr>GioiTinh</vt:lpstr>
      <vt:lpstr>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VU VIET DUNG (Quant Department - HO)</cp:lastModifiedBy>
  <dcterms:created xsi:type="dcterms:W3CDTF">2024-01-28T07:34:54Z</dcterms:created>
  <dcterms:modified xsi:type="dcterms:W3CDTF">2025-08-03T07:36:24Z</dcterms:modified>
</cp:coreProperties>
</file>